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ilacaruso/Desktop/"/>
    </mc:Choice>
  </mc:AlternateContent>
  <xr:revisionPtr revIDLastSave="0" documentId="8_{53D6C219-9A37-814E-9A16-D4239005A25B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Prospecção" sheetId="1" r:id="rId1"/>
    <sheet name="Resumo" sheetId="2" r:id="rId2"/>
  </sheets>
  <definedNames>
    <definedName name="_xlnm._FilterDatabase" localSheetId="0" hidden="1">Prospecção!$A$1:$Q$31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</calcChain>
</file>

<file path=xl/sharedStrings.xml><?xml version="1.0" encoding="utf-8"?>
<sst xmlns="http://schemas.openxmlformats.org/spreadsheetml/2006/main" count="421" uniqueCount="259">
  <si>
    <t>Prioridade</t>
  </si>
  <si>
    <t>Clínica</t>
  </si>
  <si>
    <t>Segmento</t>
  </si>
  <si>
    <t>Bairro</t>
  </si>
  <si>
    <t>Endereço</t>
  </si>
  <si>
    <t>Telefone / WhatsApp</t>
  </si>
  <si>
    <t>E-mail público</t>
  </si>
  <si>
    <t>Site / Fonte</t>
  </si>
  <si>
    <t>Contato-alvo</t>
  </si>
  <si>
    <t>Potencial arquitetônico</t>
  </si>
  <si>
    <t>Fonte</t>
  </si>
  <si>
    <t>Status</t>
  </si>
  <si>
    <t>Data 1º contato</t>
  </si>
  <si>
    <t>Data retorno</t>
  </si>
  <si>
    <t>Próxima ação</t>
  </si>
  <si>
    <t>Responsável</t>
  </si>
  <si>
    <t>Observações</t>
  </si>
  <si>
    <t>A</t>
  </si>
  <si>
    <t>Clínica Essere</t>
  </si>
  <si>
    <t>Dermatologia, cirurgia plástica e estética</t>
  </si>
  <si>
    <t>Jardins</t>
  </si>
  <si>
    <t>Alameda Campinas, 977 - Jardim Paulista</t>
  </si>
  <si>
    <t>(11) 3088-9333</t>
  </si>
  <si>
    <t>https://essere.med.br/</t>
  </si>
  <si>
    <t>Direção / Administração / Facilities</t>
  </si>
  <si>
    <t>Clínica de alto padrão com 290 m², 5 consultórios e 4 salas de estética; forte aderência a interiores e retrofit.</t>
  </si>
  <si>
    <t>Site oficial</t>
  </si>
  <si>
    <t>Não contatado</t>
  </si>
  <si>
    <t>Enviar apresentação e solicitar contato da direção/administrativo</t>
  </si>
  <si>
    <t>Lumina Pelle</t>
  </si>
  <si>
    <t>Dermatologia e estética</t>
  </si>
  <si>
    <t>Pinheiros</t>
  </si>
  <si>
    <t>Rua Joaquim Antunes, 490 - cjs. 113 e 114</t>
  </si>
  <si>
    <t>(11) 3081-5788 / (11) 94747-6244</t>
  </si>
  <si>
    <t>contato@luminapelle.com.br</t>
  </si>
  <si>
    <t>https://luminapelle.com.br/</t>
  </si>
  <si>
    <t>Direção / Administração</t>
  </si>
  <si>
    <t>Clínica de alto padrão com sete salas de atendimento; bom prospect para atualização de ambientes e expansão.</t>
  </si>
  <si>
    <t>Instituto Pompermaier</t>
  </si>
  <si>
    <t>Dermatologia e estética facial/corporal</t>
  </si>
  <si>
    <t>Av. Brasil, 471 - Jardim Paulista</t>
  </si>
  <si>
    <t>(11) 93907-6655</t>
  </si>
  <si>
    <t>https://www.google.com/maps/search/?api=1&amp;query=Instituto+Pompermaier+S%C3%A3o+Paulo</t>
  </si>
  <si>
    <t>Localização premium e atuação em dermatologia e estética; perfil compatível com projeto de experiência e interiores.</t>
  </si>
  <si>
    <t>Google Maps / cadastro público</t>
  </si>
  <si>
    <t>Clínica Jardins</t>
  </si>
  <si>
    <t>Estética, dermatologia, odontologia e cirurgia plástica</t>
  </si>
  <si>
    <t>Al. Joaquim Eugênio de Lima, 1286 - Jardim Paulista</t>
  </si>
  <si>
    <t>(11) 97416-6811</t>
  </si>
  <si>
    <t>https://www.google.com/maps/search/?api=1&amp;query=Cl%C3%ADnica+Jardins+Est%C3%A9tica+Dermatologia+Cirurgia+Pl%C3%A1stica+S%C3%A3o+Paulo</t>
  </si>
  <si>
    <t>Operação multidisciplinar em endereço premium; potencial para reorganização de fluxos e interiores clínicos.</t>
  </si>
  <si>
    <t>Diazer Estética Avançada</t>
  </si>
  <si>
    <t>Estética avançada e harmonização</t>
  </si>
  <si>
    <t>Pinheiros / Oscar Freire</t>
  </si>
  <si>
    <t>Rua Oscar Freire, 2250 - cjs. 601, 602 e 603</t>
  </si>
  <si>
    <t>(11) 93293-0990</t>
  </si>
  <si>
    <t>https://www.google.com/maps/search/?api=1&amp;query=Diazer+Est%C3%A9tica+Avan%C3%A7ada+Oscar+Freire+S%C3%A3o+Paulo</t>
  </si>
  <si>
    <t>Direção / Proprietária</t>
  </si>
  <si>
    <t>Ocupa múltiplos conjuntos e trabalha posicionamento premium; excelente perfil para retrofit, expansão e experiência de marca.</t>
  </si>
  <si>
    <t>OroVita - Unidade Pinheiros</t>
  </si>
  <si>
    <t>Estética avançada</t>
  </si>
  <si>
    <t>Rua Oscar Freire, 2250 - cj. 306</t>
  </si>
  <si>
    <t>(11) 93956-1977</t>
  </si>
  <si>
    <t>https://www.google.com/maps/search/?api=1&amp;query=Cl%C3%ADnica+OroVita+Pinheiros+S%C3%A3o+Paulo</t>
  </si>
  <si>
    <t>Direção / Expansão</t>
  </si>
  <si>
    <t>Rede com mais de uma unidade em São Paulo; potencial elevado para padronização arquitetônica e expansão.</t>
  </si>
  <si>
    <t>OroVita - Unidade Moema</t>
  </si>
  <si>
    <t>Moema</t>
  </si>
  <si>
    <t>Al. dos Maracatins, 1217 - cj. 204</t>
  </si>
  <si>
    <t>(11) 98992-8117</t>
  </si>
  <si>
    <t>https://www.google.com/maps/search/?api=1&amp;query=Cl%C3%ADnica+OroVita+Moema+S%C3%A3o+Paulo</t>
  </si>
  <si>
    <t>Segunda unidade da marca na capital; oportunidade para projetos replicáveis e melhoria de experiência.</t>
  </si>
  <si>
    <t>Clínica Prime Moema</t>
  </si>
  <si>
    <t>Estética avançada e laser</t>
  </si>
  <si>
    <t>Al. dos Pamaris, 182 - Moema</t>
  </si>
  <si>
    <t>(11) 4380-0840</t>
  </si>
  <si>
    <t>https://www.clinicaesteticamoema.com.br/</t>
  </si>
  <si>
    <t>Direção / Administração / Expansão</t>
  </si>
  <si>
    <t>Marca apresenta duas unidades e tecnologias de estética avançada; boa aderência a padronização e novos espaços.</t>
  </si>
  <si>
    <t>Be Harmony Clinic</t>
  </si>
  <si>
    <t>Harmonização facial</t>
  </si>
  <si>
    <t>Itaim Bibi</t>
  </si>
  <si>
    <t>Rua Bandeira Paulista, 726 - sala 97</t>
  </si>
  <si>
    <t>(11) 99818-5599</t>
  </si>
  <si>
    <t>https://www.beharmonyclinic.com.br/</t>
  </si>
  <si>
    <t>Clínica em região premium com posicionamento de marca forte; prospect adequado para atualização de interiores.</t>
  </si>
  <si>
    <t>Dra. Rachel Albieri - Estética Avançada</t>
  </si>
  <si>
    <t>Harmonização facial e corporal</t>
  </si>
  <si>
    <t>Vila Olímpia</t>
  </si>
  <si>
    <t>Rua Dr. Sodré, 122 - cj. 47</t>
  </si>
  <si>
    <t>(11) 97409-0781</t>
  </si>
  <si>
    <t>https://www.google.com/maps/search/?api=1&amp;query=Dra+Rachel+Albieri+Est%C3%A9tica+Avan%C3%A7ada+S%C3%A3o+Paulo</t>
  </si>
  <si>
    <t>Proprietária / Administração</t>
  </si>
  <si>
    <t>Clínica boutique em região corporativa premium; bom potencial para projeto autoral e otimização de espaço.</t>
  </si>
  <si>
    <t>Shape Clinic Estética Avançada</t>
  </si>
  <si>
    <t>Estética avançada, spa e cirurgia plástica</t>
  </si>
  <si>
    <t>Jardins / Paulista</t>
  </si>
  <si>
    <t>Av. Paulista, 2202 - cj. 146B</t>
  </si>
  <si>
    <t>(11) 3085-2344</t>
  </si>
  <si>
    <t>https://www.google.com/maps/search/?api=1&amp;query=Shape+Clinic+Est%C3%A9tica+Avan%C3%A7ada+Jardins+S%C3%A3o+Paulo</t>
  </si>
  <si>
    <t>Mix de serviços e localização de alta visibilidade; potencial para reposicionamento de interiores e fluxos.</t>
  </si>
  <si>
    <t>Clínica VIE - Estética Regenerativa</t>
  </si>
  <si>
    <t>Estética regenerativa</t>
  </si>
  <si>
    <t>Vila Mariana / Chucri Zaidan</t>
  </si>
  <si>
    <t>R. Domingos de Morais, 2781 - 14º andar / Av. Dr. Chucri Zaidan, 940</t>
  </si>
  <si>
    <t>(11) 91237-5330</t>
  </si>
  <si>
    <t>https://www.google.com/maps/search/?api=1&amp;query=Cl%C3%ADnica+VIE+Est%C3%A9tica+Regenerativa+S%C3%A3o+Paulo</t>
  </si>
  <si>
    <t>Presença em mais de um endereço; sinal de operação com potencial de expansão e padronização.</t>
  </si>
  <si>
    <t>B</t>
  </si>
  <si>
    <t>Clinic Aesthetica</t>
  </si>
  <si>
    <t>Biomedicina estética e tratamentos faciais/corporais</t>
  </si>
  <si>
    <t>República / Centro</t>
  </si>
  <si>
    <t>Av. Ipiranga, 344 - sala 81D - Edifício Itália</t>
  </si>
  <si>
    <t>(11) 3257-4391 / (11) 97346-9977</t>
  </si>
  <si>
    <t>atendimento@clinicspa.com.br</t>
  </si>
  <si>
    <t>https://www.clinicspa.com.br/</t>
  </si>
  <si>
    <t>Operação consolidada com atendimento estético e forte identidade; potencial para atualização de espaço.</t>
  </si>
  <si>
    <t>Spécialiste Estética e Saúde</t>
  </si>
  <si>
    <t>Estética, saúde e bem-estar</t>
  </si>
  <si>
    <t>Brooklin</t>
  </si>
  <si>
    <t>Av. Barão do Triunfo, 612 - cj. 905</t>
  </si>
  <si>
    <t>(11) 2532-6661 / (11) 94524-3653</t>
  </si>
  <si>
    <t>contato@specialiste.com.br</t>
  </si>
  <si>
    <t>https://www.specialiste.com.br/</t>
  </si>
  <si>
    <t>Clínica multidisciplinar com estética e saúde; possibilidade de melhoria de fluxos e experiência.</t>
  </si>
  <si>
    <t>Duo Clinic</t>
  </si>
  <si>
    <t>Dermatologia e cirurgia plástica</t>
  </si>
  <si>
    <t>Jardim Paulista</t>
  </si>
  <si>
    <t>Av. Brigadeiro Luís Antônio, 3421 - cjs. 211/214</t>
  </si>
  <si>
    <t>(11) 3213-9632 / (11) 96207-3740</t>
  </si>
  <si>
    <t>duoclinic_duoclinic@hotmail.com</t>
  </si>
  <si>
    <t>https://www.duoclinic.med.br/</t>
  </si>
  <si>
    <t>Clínica de dermatologia estética e cirurgia plástica em bairro premium; boa aderência a interiores clínicos.</t>
  </si>
  <si>
    <t>Clínica Sitonio</t>
  </si>
  <si>
    <t>Ipiranga</t>
  </si>
  <si>
    <t>Rua Bom Pastor, 2224 - sala 304</t>
  </si>
  <si>
    <t>(11) 2219-1895 / (11) 97998-9806</t>
  </si>
  <si>
    <t>contato@clinicasitonio.com.br</t>
  </si>
  <si>
    <t>https://www.clinicasitonio.com.br/</t>
  </si>
  <si>
    <t>Clínica especializada com canal direto; prospect acessível para abordagem personalizada.</t>
  </si>
  <si>
    <t>Clínica Polaris Estética</t>
  </si>
  <si>
    <t>Harmonização facial e estética avançada</t>
  </si>
  <si>
    <t>Rua Teodoro Sampaio, 2550</t>
  </si>
  <si>
    <t>(11) 95776-6228</t>
  </si>
  <si>
    <t>contato@polarisestetica.com.br</t>
  </si>
  <si>
    <t>https://polarisclinica.com.br/</t>
  </si>
  <si>
    <t>Posicionamento sofisticado e endereço em Pinheiros; bom alvo para interiores e identidade de marca.</t>
  </si>
  <si>
    <t>Dra. Poly Harmonização Facial</t>
  </si>
  <si>
    <t>R. Min. Gabriel de Rezende Passos, 500 - sala 912</t>
  </si>
  <si>
    <t>(11) 96924-7340</t>
  </si>
  <si>
    <t>harmonizacaofacialdrapoly@gmail.com</t>
  </si>
  <si>
    <t>https://drapolyharmonizacaofacial.com.br/</t>
  </si>
  <si>
    <t>Clínica boutique em Moema; abordagem direta à proprietária pode funcionar bem para reformas e melhorias.</t>
  </si>
  <si>
    <t>Clínica BEM</t>
  </si>
  <si>
    <t>Estética, laser e bem-estar</t>
  </si>
  <si>
    <t>Alameda dos Nhambiquaras, 150</t>
  </si>
  <si>
    <t>(11) 94838-0137</t>
  </si>
  <si>
    <t>https://www.google.com/maps/search/?api=1&amp;query=Cl%C3%ADnica+BEM+Est%C3%A9tica+Moema+S%C3%A3o+Paulo</t>
  </si>
  <si>
    <t>Clínica com mix amplo de serviços em Moema; potencial para adequação de salas e experiência do cliente.</t>
  </si>
  <si>
    <t>Artestética</t>
  </si>
  <si>
    <t>Estética avançada e odontologia</t>
  </si>
  <si>
    <t>Vila Mariana</t>
  </si>
  <si>
    <t>Rua Humberto I, 93</t>
  </si>
  <si>
    <t>(11) 5083-9551</t>
  </si>
  <si>
    <t>https://www.google.com/maps/search/?api=1&amp;query=Artest%C3%A9tica+Vila+Mariana+S%C3%A3o+Paulo</t>
  </si>
  <si>
    <t>Operação consolidada e multidisciplinar; possibilidade de retrofit e organização de fluxos.</t>
  </si>
  <si>
    <t>Clínica Dr. Leonardo Martinelli</t>
  </si>
  <si>
    <t>Rua Bento de Andrade, 516</t>
  </si>
  <si>
    <t>(11) 93369-2314</t>
  </si>
  <si>
    <t>https://www.google.com/maps/search/?api=1&amp;query=Dr+Leonardo+Martinelli+Dermatologia+Est%C3%A9tica+S%C3%A3o+Paulo</t>
  </si>
  <si>
    <t>Direção / Proprietário</t>
  </si>
  <si>
    <t>Consultório premium em bairro nobre; potencial para projeto boutique e atualização de interiores.</t>
  </si>
  <si>
    <t>Dermatologie</t>
  </si>
  <si>
    <t>Dermatologia estética, clínica e cosmiatria</t>
  </si>
  <si>
    <t>Av. Dr. Cardoso de Melo, 1308 - cj. 121</t>
  </si>
  <si>
    <t>(11) 5042-0871</t>
  </si>
  <si>
    <t>https://www.google.com/maps/search/?api=1&amp;query=Dermatologie+Dermatologia+Est%C3%A9tica+S%C3%A3o+Paulo+Vila+Ol%C3%ADmpia</t>
  </si>
  <si>
    <t>Clínica em região corporativa premium, com procedimentos estéticos e cosmiatria.</t>
  </si>
  <si>
    <t>Maat Clínica Dermatológica</t>
  </si>
  <si>
    <t>Dermatologia estética</t>
  </si>
  <si>
    <t>Rua Joaquim Floriano, 101</t>
  </si>
  <si>
    <t>(11) 3842-1902</t>
  </si>
  <si>
    <t>https://www.google.com/maps/search/?api=1&amp;query=Maat+Cl%C3%ADnica+Dermatol%C3%B3gica+Itaim+Bibi+S%C3%A3o+Paulo</t>
  </si>
  <si>
    <t>Localização estratégica no Itaim e posicionamento dermatológico; bom potencial para interiores e experiência.</t>
  </si>
  <si>
    <t>Centro de Dermatologia Jardins</t>
  </si>
  <si>
    <t>Alameda Sarutaiá, 156</t>
  </si>
  <si>
    <t>(11) 3885-9719</t>
  </si>
  <si>
    <t>https://www.google.com/maps/search/?api=1&amp;query=Centro+de+Dermatologia+Jardins+S%C3%A3o+Paulo</t>
  </si>
  <si>
    <t>Clínica estabelecida em área premium; possibilidade de atualização de consultórios e recepção.</t>
  </si>
  <si>
    <t>Moema Medical Center</t>
  </si>
  <si>
    <t>Clínica médica, estética e cirurgia plástica</t>
  </si>
  <si>
    <t>Rua Iraí, 143 - 12º andar</t>
  </si>
  <si>
    <t>(11) 5535-0720 / (11) 5096-7336</t>
  </si>
  <si>
    <t>moemamedical@hotmail.com</t>
  </si>
  <si>
    <t>https://www.moemamedicalcenter.com.br/</t>
  </si>
  <si>
    <t>Centro médico com múltiplas especialidades; potencial para fluxos, recepção e ambientes compartilhados.</t>
  </si>
  <si>
    <t>C</t>
  </si>
  <si>
    <t>Dra. Roberta Araripe - Estética Avançada</t>
  </si>
  <si>
    <t>Rua Caçapava, 49</t>
  </si>
  <si>
    <t>(11) 99244-8907</t>
  </si>
  <si>
    <t>https://www.google.com/maps/search/?api=1&amp;query=Dra+Roberta+Araripe+Est%C3%A9tica+Avan%C3%A7ada+S%C3%A3o+Paulo</t>
  </si>
  <si>
    <t>Proprietária</t>
  </si>
  <si>
    <t>Operação boutique; abordagem direta pode gerar projetos menores de alto valor percebido.</t>
  </si>
  <si>
    <t>Clínica de Estética Avançada Ana Carolina</t>
  </si>
  <si>
    <t>Av. Nove de Julho, 3384</t>
  </si>
  <si>
    <t>(11) 94035-9875</t>
  </si>
  <si>
    <t>https://www.google.com/maps/search/?api=1&amp;query=Cl%C3%ADnica+Est%C3%A9tica+Avan%C3%A7ada+Ana+Carolina+S%C3%A3o+Paulo</t>
  </si>
  <si>
    <t>Clínica boutique em região premium; possível demanda por ambientação e otimização de espaço.</t>
  </si>
  <si>
    <t>Elaine Ribeiro Estética Avançada</t>
  </si>
  <si>
    <t>Rua Tabapuã, 821</t>
  </si>
  <si>
    <t>(11) 91574-2324</t>
  </si>
  <si>
    <t>https://www.google.com/maps/search/?api=1&amp;query=Elaine+Ribeiro+Est%C3%A9tica+Avan%C3%A7ada+S%C3%A3o+Paulo</t>
  </si>
  <si>
    <t>Boa localização e horário estendido; potencial para projeto boutique, ainda que operação aparente ser menor.</t>
  </si>
  <si>
    <t>Aurabella Clínica de Estética</t>
  </si>
  <si>
    <t>Estética</t>
  </si>
  <si>
    <t>Tatuapé</t>
  </si>
  <si>
    <t>Rua Monte Serrat, 890</t>
  </si>
  <si>
    <t>(11) 91596-6932</t>
  </si>
  <si>
    <t>https://www.google.com/maps/search/?api=1&amp;query=Aurabella+Cl%C3%ADnica+de+Est%C3%A9tica+Tatuap%C3%A9+S%C3%A3o+Paulo</t>
  </si>
  <si>
    <t>Clínica de bairro com potencial para reforma, ambientação e diferenciação de experiência.</t>
  </si>
  <si>
    <t>Clínica Hamonir - Morumbi</t>
  </si>
  <si>
    <t>Morumbi</t>
  </si>
  <si>
    <t>Av. Dr. Guilherme Dumont Vilares, 1450 - loja 8</t>
  </si>
  <si>
    <t>(11) 91728-5201</t>
  </si>
  <si>
    <t>https://www.google.com/maps/search/?api=1&amp;query=Cl%C3%ADnica+de+Est%C3%A9tica+Hamonir+Morumbi+S%C3%A3o+Paulo</t>
  </si>
  <si>
    <t>Operação local com boa avaliação pública; prospect para reforma e melhoria de experiência.</t>
  </si>
  <si>
    <t>Prospecção — Clínicas Estéticas de São Paulo</t>
  </si>
  <si>
    <t>Base pesquisada</t>
  </si>
  <si>
    <t>Prioridade A</t>
  </si>
  <si>
    <t>Com e-mail público</t>
  </si>
  <si>
    <t>Reuniões marcadas</t>
  </si>
  <si>
    <t>Contatos enviados</t>
  </si>
  <si>
    <t>Cadência sugerida</t>
  </si>
  <si>
    <t>1</t>
  </si>
  <si>
    <t>Dia 0</t>
  </si>
  <si>
    <t>E-mail ou WhatsApp curto</t>
  </si>
  <si>
    <t>Apresentar o escritório e pedir contato de direção/administração/expansão.</t>
  </si>
  <si>
    <t>2</t>
  </si>
  <si>
    <t>Dia 3–5</t>
  </si>
  <si>
    <t>Follow-up</t>
  </si>
  <si>
    <t>Retomar com um case visual ou benefício específico para clínicas.</t>
  </si>
  <si>
    <t>3</t>
  </si>
  <si>
    <t>Dia 7–10</t>
  </si>
  <si>
    <t>Ligação</t>
  </si>
  <si>
    <t>Confirmar recebimento e identificar decisor de obras, expansão ou infraestrutura.</t>
  </si>
  <si>
    <t>4</t>
  </si>
  <si>
    <t>Dia 15–20</t>
  </si>
  <si>
    <t>Último toque</t>
  </si>
  <si>
    <t>Mensagem curta com disponibilidade para uma conversa de 15 minutos.</t>
  </si>
  <si>
    <t>Critério de prioridade</t>
  </si>
  <si>
    <t>Alta</t>
  </si>
  <si>
    <t>Clínicas premium, múltiplas salas/unidades, bairros de alto valor e/ou sinais claros de expansão.</t>
  </si>
  <si>
    <t>Média</t>
  </si>
  <si>
    <t>Boa aderência a arquitetura de saúde, com operação consolidada ou posicionamento diferenciado.</t>
  </si>
  <si>
    <t>Exploratória</t>
  </si>
  <si>
    <t>Operações menores ou com menos sinais públicos de expansão; abordagem mais seletiva.</t>
  </si>
  <si>
    <t>Atualizado em</t>
  </si>
  <si>
    <t>Observação</t>
  </si>
  <si>
    <t>Contatos são públicos e podem mudar. Valide o canal antes do disparo. Para prospecção, prefira mensagens individualizadas em vez de envio em massa.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</si>
</sst>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8000"/>
      <name val="Calibri"/>
      <family val="2"/>
    </font>
    <font>
      <sz val="10"/>
      <color rgb="FF0000FF"/>
      <name val="Calibri"/>
      <family val="2"/>
    </font>
    <font>
      <b/>
      <sz val="11"/>
      <color rgb="FF1F1F1F"/>
      <name val="Calibri"/>
      <family val="2"/>
    </font>
    <font>
      <sz val="12"/>
      <color theme="10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666666"/>
      <name val="Calibri"/>
      <family val="2"/>
    </font>
    <font>
      <sz val="11"/>
      <color rgb="FF1F1F1F"/>
      <name val="Calibri"/>
      <family val="2"/>
    </font>
    <font>
      <sz val="11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5" fillId="0" borderId="0" xfId="1"/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/>
    <xf numFmtId="0" fontId="8" fillId="6" borderId="0" xfId="0" applyFont="1" applyFill="1"/>
    <xf numFmtId="0" fontId="9" fillId="0" borderId="0" xfId="0" applyFont="1" applyAlignment="1">
      <alignment vertical="top" wrapText="1"/>
    </xf>
    <xf numFmtId="14" fontId="0" fillId="0" borderId="0" xfId="0" applyNumberFormat="1"/>
    <xf numFmtId="0" fontId="6" fillId="2" borderId="0" xfId="0" applyFont="1" applyFill="1"/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2">
    <cellStyle name="Hiperlink" xfId="1" builtinId="8"/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inicaesteticamoema.com.br/" TargetMode="External"/><Relationship Id="rId13" Type="http://schemas.openxmlformats.org/officeDocument/2006/relationships/hyperlink" Target="https://www.clinicspa.com.br/" TargetMode="External"/><Relationship Id="rId18" Type="http://schemas.openxmlformats.org/officeDocument/2006/relationships/hyperlink" Target="https://drapolyharmonizacaofacial.com.br/" TargetMode="External"/><Relationship Id="rId26" Type="http://schemas.openxmlformats.org/officeDocument/2006/relationships/hyperlink" Target="https://www.google.com/maps/search/?api=1&amp;query=Dra+Roberta+Araripe+Est%C3%A9tica+Avan%C3%A7ada+S%C3%A3o+Paulo" TargetMode="External"/><Relationship Id="rId3" Type="http://schemas.openxmlformats.org/officeDocument/2006/relationships/hyperlink" Target="https://www.google.com/maps/search/?api=1&amp;query=Instituto+Pompermaier+S%C3%A3o+Paulo" TargetMode="External"/><Relationship Id="rId21" Type="http://schemas.openxmlformats.org/officeDocument/2006/relationships/hyperlink" Target="https://www.google.com/maps/search/?api=1&amp;query=Dr+Leonardo+Martinelli+Dermatologia+Est%C3%A9tica+S%C3%A3o+Paulo" TargetMode="External"/><Relationship Id="rId7" Type="http://schemas.openxmlformats.org/officeDocument/2006/relationships/hyperlink" Target="https://www.google.com/maps/search/?api=1&amp;query=Cl%C3%ADnica+OroVita+Moema+S%C3%A3o+Paulo" TargetMode="External"/><Relationship Id="rId12" Type="http://schemas.openxmlformats.org/officeDocument/2006/relationships/hyperlink" Target="https://www.google.com/maps/search/?api=1&amp;query=Cl%C3%ADnica+VIE+Est%C3%A9tica+Regenerativa+S%C3%A3o+Paulo" TargetMode="External"/><Relationship Id="rId17" Type="http://schemas.openxmlformats.org/officeDocument/2006/relationships/hyperlink" Target="https://polarisclinica.com.br/" TargetMode="External"/><Relationship Id="rId25" Type="http://schemas.openxmlformats.org/officeDocument/2006/relationships/hyperlink" Target="https://www.moemamedicalcenter.com.br/" TargetMode="External"/><Relationship Id="rId2" Type="http://schemas.openxmlformats.org/officeDocument/2006/relationships/hyperlink" Target="https://luminapelle.com.br/" TargetMode="External"/><Relationship Id="rId16" Type="http://schemas.openxmlformats.org/officeDocument/2006/relationships/hyperlink" Target="https://www.clinicasitonio.com.br/" TargetMode="External"/><Relationship Id="rId20" Type="http://schemas.openxmlformats.org/officeDocument/2006/relationships/hyperlink" Target="https://www.google.com/maps/search/?api=1&amp;query=Artest%C3%A9tica+Vila+Mariana+S%C3%A3o+Paulo" TargetMode="External"/><Relationship Id="rId29" Type="http://schemas.openxmlformats.org/officeDocument/2006/relationships/hyperlink" Target="https://www.google.com/maps/search/?api=1&amp;query=Aurabella+Cl%C3%ADnica+de+Est%C3%A9tica+Tatuap%C3%A9+S%C3%A3o+Paulo" TargetMode="External"/><Relationship Id="rId1" Type="http://schemas.openxmlformats.org/officeDocument/2006/relationships/hyperlink" Target="https://essere.med.br/" TargetMode="External"/><Relationship Id="rId6" Type="http://schemas.openxmlformats.org/officeDocument/2006/relationships/hyperlink" Target="https://www.google.com/maps/search/?api=1&amp;query=Cl%C3%ADnica+OroVita+Pinheiros+S%C3%A3o+Paulo" TargetMode="External"/><Relationship Id="rId11" Type="http://schemas.openxmlformats.org/officeDocument/2006/relationships/hyperlink" Target="https://www.google.com/maps/search/?api=1&amp;query=Shape+Clinic+Est%C3%A9tica+Avan%C3%A7ada+Jardins+S%C3%A3o+Paulo" TargetMode="External"/><Relationship Id="rId24" Type="http://schemas.openxmlformats.org/officeDocument/2006/relationships/hyperlink" Target="https://www.google.com/maps/search/?api=1&amp;query=Centro+de+Dermatologia+Jardins+S%C3%A3o+Paulo" TargetMode="External"/><Relationship Id="rId5" Type="http://schemas.openxmlformats.org/officeDocument/2006/relationships/hyperlink" Target="https://www.google.com/maps/search/?api=1&amp;query=Diazer+Est%C3%A9tica+Avan%C3%A7ada+Oscar+Freire+S%C3%A3o+Paulo" TargetMode="External"/><Relationship Id="rId15" Type="http://schemas.openxmlformats.org/officeDocument/2006/relationships/hyperlink" Target="https://www.duoclinic.med.br/" TargetMode="External"/><Relationship Id="rId23" Type="http://schemas.openxmlformats.org/officeDocument/2006/relationships/hyperlink" Target="https://www.google.com/maps/search/?api=1&amp;query=Maat+Cl%C3%ADnica+Dermatol%C3%B3gica+Itaim+Bibi+S%C3%A3o+Paulo" TargetMode="External"/><Relationship Id="rId28" Type="http://schemas.openxmlformats.org/officeDocument/2006/relationships/hyperlink" Target="https://www.google.com/maps/search/?api=1&amp;query=Elaine+Ribeiro+Est%C3%A9tica+Avan%C3%A7ada+S%C3%A3o+Paulo" TargetMode="External"/><Relationship Id="rId10" Type="http://schemas.openxmlformats.org/officeDocument/2006/relationships/hyperlink" Target="https://www.google.com/maps/search/?api=1&amp;query=Dra+Rachel+Albieri+Est%C3%A9tica+Avan%C3%A7ada+S%C3%A3o+Paulo" TargetMode="External"/><Relationship Id="rId19" Type="http://schemas.openxmlformats.org/officeDocument/2006/relationships/hyperlink" Target="https://www.google.com/maps/search/?api=1&amp;query=Cl%C3%ADnica+BEM+Est%C3%A9tica+Moema+S%C3%A3o+Paulo" TargetMode="External"/><Relationship Id="rId4" Type="http://schemas.openxmlformats.org/officeDocument/2006/relationships/hyperlink" Target="https://www.google.com/maps/search/?api=1&amp;query=Cl%C3%ADnica+Jardins+Est%C3%A9tica+Dermatologia+Cirurgia+Pl%C3%A1stica+S%C3%A3o+Paulo" TargetMode="External"/><Relationship Id="rId9" Type="http://schemas.openxmlformats.org/officeDocument/2006/relationships/hyperlink" Target="https://www.beharmonyclinic.com.br/" TargetMode="External"/><Relationship Id="rId14" Type="http://schemas.openxmlformats.org/officeDocument/2006/relationships/hyperlink" Target="https://www.specialiste.com.br/" TargetMode="External"/><Relationship Id="rId22" Type="http://schemas.openxmlformats.org/officeDocument/2006/relationships/hyperlink" Target="https://www.google.com/maps/search/?api=1&amp;query=Dermatologie+Dermatologia+Est%C3%A9tica+S%C3%A3o+Paulo+Vila+Ol%C3%ADmpia" TargetMode="External"/><Relationship Id="rId27" Type="http://schemas.openxmlformats.org/officeDocument/2006/relationships/hyperlink" Target="https://www.google.com/maps/search/?api=1&amp;query=Cl%C3%ADnica+Est%C3%A9tica+Avan%C3%A7ada+Ana+Carolina+S%C3%A3o+Paulo" TargetMode="External"/><Relationship Id="rId30" Type="http://schemas.openxmlformats.org/officeDocument/2006/relationships/hyperlink" Target="https://www.google.com/maps/search/?api=1&amp;query=Cl%C3%ADnica+de+Est%C3%A9tica+Hamonir+Morumbi+S%C3%A3o+Pau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30" customWidth="1"/>
    <col min="4" max="4" width="20" customWidth="1"/>
    <col min="5" max="5" width="42" customWidth="1"/>
    <col min="6" max="6" width="27" customWidth="1"/>
    <col min="7" max="7" width="32" customWidth="1"/>
    <col min="8" max="8" width="42" customWidth="1"/>
    <col min="9" max="9" width="29" customWidth="1"/>
    <col min="10" max="10" width="55" customWidth="1"/>
    <col min="11" max="11" width="25" customWidth="1"/>
    <col min="12" max="12" width="18" customWidth="1"/>
    <col min="13" max="14" width="16" customWidth="1"/>
    <col min="15" max="15" width="42" customWidth="1"/>
    <col min="16" max="16" width="18" customWidth="1"/>
    <col min="17" max="17" width="40" customWidth="1"/>
  </cols>
  <sheetData>
    <row r="1" spans="1:1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8" customHeight="1" x14ac:dyDescent="0.2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4" t="s">
        <v>23</v>
      </c>
      <c r="I2" s="3" t="s">
        <v>24</v>
      </c>
      <c r="J2" s="3" t="s">
        <v>25</v>
      </c>
      <c r="K2" s="3" t="s">
        <v>26</v>
      </c>
      <c r="L2" s="5" t="s">
        <v>27</v>
      </c>
      <c r="M2" s="6"/>
      <c r="N2" s="6"/>
      <c r="O2" s="5" t="s">
        <v>28</v>
      </c>
      <c r="P2" s="5"/>
      <c r="Q2" s="5"/>
    </row>
    <row r="3" spans="1:17" ht="58" customHeight="1" x14ac:dyDescent="0.2">
      <c r="A3" s="2" t="s">
        <v>17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4" t="s">
        <v>35</v>
      </c>
      <c r="I3" s="3" t="s">
        <v>36</v>
      </c>
      <c r="J3" s="3" t="s">
        <v>37</v>
      </c>
      <c r="K3" s="3" t="s">
        <v>26</v>
      </c>
      <c r="L3" s="5" t="s">
        <v>27</v>
      </c>
      <c r="M3" s="6"/>
      <c r="N3" s="6"/>
      <c r="O3" s="5" t="s">
        <v>28</v>
      </c>
      <c r="P3" s="5"/>
      <c r="Q3" s="5"/>
    </row>
    <row r="4" spans="1:17" ht="58" customHeight="1" x14ac:dyDescent="0.2">
      <c r="A4" s="2" t="s">
        <v>17</v>
      </c>
      <c r="B4" s="3" t="s">
        <v>38</v>
      </c>
      <c r="C4" s="3" t="s">
        <v>39</v>
      </c>
      <c r="D4" s="3" t="s">
        <v>20</v>
      </c>
      <c r="E4" s="3" t="s">
        <v>40</v>
      </c>
      <c r="F4" s="3" t="s">
        <v>41</v>
      </c>
      <c r="G4" s="3"/>
      <c r="H4" s="4" t="s">
        <v>42</v>
      </c>
      <c r="I4" s="3" t="s">
        <v>36</v>
      </c>
      <c r="J4" s="3" t="s">
        <v>43</v>
      </c>
      <c r="K4" s="3" t="s">
        <v>44</v>
      </c>
      <c r="L4" s="5" t="s">
        <v>27</v>
      </c>
      <c r="M4" s="6"/>
      <c r="N4" s="6"/>
      <c r="O4" s="5" t="s">
        <v>28</v>
      </c>
      <c r="P4" s="5"/>
      <c r="Q4" s="5"/>
    </row>
    <row r="5" spans="1:17" ht="58" customHeight="1" x14ac:dyDescent="0.2">
      <c r="A5" s="2" t="s">
        <v>17</v>
      </c>
      <c r="B5" s="3" t="s">
        <v>45</v>
      </c>
      <c r="C5" s="3" t="s">
        <v>46</v>
      </c>
      <c r="D5" s="3" t="s">
        <v>20</v>
      </c>
      <c r="E5" s="3" t="s">
        <v>47</v>
      </c>
      <c r="F5" s="3" t="s">
        <v>48</v>
      </c>
      <c r="G5" s="3"/>
      <c r="H5" s="4" t="s">
        <v>49</v>
      </c>
      <c r="I5" s="3" t="s">
        <v>36</v>
      </c>
      <c r="J5" s="3" t="s">
        <v>50</v>
      </c>
      <c r="K5" s="3" t="s">
        <v>44</v>
      </c>
      <c r="L5" s="5" t="s">
        <v>27</v>
      </c>
      <c r="M5" s="6"/>
      <c r="N5" s="6"/>
      <c r="O5" s="5" t="s">
        <v>28</v>
      </c>
      <c r="P5" s="5"/>
      <c r="Q5" s="5"/>
    </row>
    <row r="6" spans="1:17" ht="58" customHeight="1" x14ac:dyDescent="0.2">
      <c r="A6" s="2" t="s">
        <v>17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/>
      <c r="H6" s="4" t="s">
        <v>56</v>
      </c>
      <c r="I6" s="3" t="s">
        <v>57</v>
      </c>
      <c r="J6" s="3" t="s">
        <v>58</v>
      </c>
      <c r="K6" s="3" t="s">
        <v>44</v>
      </c>
      <c r="L6" s="5" t="s">
        <v>27</v>
      </c>
      <c r="M6" s="6"/>
      <c r="N6" s="6"/>
      <c r="O6" s="5" t="s">
        <v>28</v>
      </c>
      <c r="P6" s="5"/>
      <c r="Q6" s="5"/>
    </row>
    <row r="7" spans="1:17" ht="58" customHeight="1" x14ac:dyDescent="0.2">
      <c r="A7" s="2" t="s">
        <v>17</v>
      </c>
      <c r="B7" s="3" t="s">
        <v>59</v>
      </c>
      <c r="C7" s="3" t="s">
        <v>60</v>
      </c>
      <c r="D7" s="3" t="s">
        <v>53</v>
      </c>
      <c r="E7" s="3" t="s">
        <v>61</v>
      </c>
      <c r="F7" s="3" t="s">
        <v>62</v>
      </c>
      <c r="G7" s="3"/>
      <c r="H7" s="4" t="s">
        <v>63</v>
      </c>
      <c r="I7" s="3" t="s">
        <v>64</v>
      </c>
      <c r="J7" s="3" t="s">
        <v>65</v>
      </c>
      <c r="K7" s="3" t="s">
        <v>44</v>
      </c>
      <c r="L7" s="5" t="s">
        <v>27</v>
      </c>
      <c r="M7" s="6"/>
      <c r="N7" s="6"/>
      <c r="O7" s="5" t="s">
        <v>28</v>
      </c>
      <c r="P7" s="5"/>
      <c r="Q7" s="5"/>
    </row>
    <row r="8" spans="1:17" ht="58" customHeight="1" x14ac:dyDescent="0.2">
      <c r="A8" s="2" t="s">
        <v>17</v>
      </c>
      <c r="B8" s="3" t="s">
        <v>66</v>
      </c>
      <c r="C8" s="3" t="s">
        <v>60</v>
      </c>
      <c r="D8" s="3" t="s">
        <v>67</v>
      </c>
      <c r="E8" s="3" t="s">
        <v>68</v>
      </c>
      <c r="F8" s="3" t="s">
        <v>69</v>
      </c>
      <c r="G8" s="3"/>
      <c r="H8" s="4" t="s">
        <v>70</v>
      </c>
      <c r="I8" s="3" t="s">
        <v>64</v>
      </c>
      <c r="J8" s="3" t="s">
        <v>71</v>
      </c>
      <c r="K8" s="3" t="s">
        <v>44</v>
      </c>
      <c r="L8" s="5" t="s">
        <v>27</v>
      </c>
      <c r="M8" s="6"/>
      <c r="N8" s="6"/>
      <c r="O8" s="5" t="s">
        <v>28</v>
      </c>
      <c r="P8" s="5"/>
      <c r="Q8" s="5"/>
    </row>
    <row r="9" spans="1:17" ht="58" customHeight="1" x14ac:dyDescent="0.2">
      <c r="A9" s="2" t="s">
        <v>17</v>
      </c>
      <c r="B9" s="3" t="s">
        <v>72</v>
      </c>
      <c r="C9" s="3" t="s">
        <v>73</v>
      </c>
      <c r="D9" s="3" t="s">
        <v>67</v>
      </c>
      <c r="E9" s="3" t="s">
        <v>74</v>
      </c>
      <c r="F9" s="3" t="s">
        <v>75</v>
      </c>
      <c r="G9" s="3"/>
      <c r="H9" s="4" t="s">
        <v>76</v>
      </c>
      <c r="I9" s="3" t="s">
        <v>77</v>
      </c>
      <c r="J9" s="3" t="s">
        <v>78</v>
      </c>
      <c r="K9" s="3" t="s">
        <v>26</v>
      </c>
      <c r="L9" s="5" t="s">
        <v>27</v>
      </c>
      <c r="M9" s="6"/>
      <c r="N9" s="6"/>
      <c r="O9" s="5" t="s">
        <v>28</v>
      </c>
      <c r="P9" s="5"/>
      <c r="Q9" s="5"/>
    </row>
    <row r="10" spans="1:17" ht="58" customHeight="1" x14ac:dyDescent="0.2">
      <c r="A10" s="2" t="s">
        <v>17</v>
      </c>
      <c r="B10" s="3" t="s">
        <v>79</v>
      </c>
      <c r="C10" s="3" t="s">
        <v>80</v>
      </c>
      <c r="D10" s="3" t="s">
        <v>81</v>
      </c>
      <c r="E10" s="3" t="s">
        <v>82</v>
      </c>
      <c r="F10" s="3" t="s">
        <v>83</v>
      </c>
      <c r="G10" s="3"/>
      <c r="H10" s="4" t="s">
        <v>84</v>
      </c>
      <c r="I10" s="3" t="s">
        <v>57</v>
      </c>
      <c r="J10" s="3" t="s">
        <v>85</v>
      </c>
      <c r="K10" s="3" t="s">
        <v>26</v>
      </c>
      <c r="L10" s="5" t="s">
        <v>27</v>
      </c>
      <c r="M10" s="6"/>
      <c r="N10" s="6"/>
      <c r="O10" s="5" t="s">
        <v>28</v>
      </c>
      <c r="P10" s="5"/>
      <c r="Q10" s="5"/>
    </row>
    <row r="11" spans="1:17" ht="58" customHeight="1" x14ac:dyDescent="0.2">
      <c r="A11" s="2" t="s">
        <v>17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/>
      <c r="H11" s="4" t="s">
        <v>91</v>
      </c>
      <c r="I11" s="3" t="s">
        <v>92</v>
      </c>
      <c r="J11" s="3" t="s">
        <v>93</v>
      </c>
      <c r="K11" s="3" t="s">
        <v>44</v>
      </c>
      <c r="L11" s="5" t="s">
        <v>27</v>
      </c>
      <c r="M11" s="6"/>
      <c r="N11" s="6"/>
      <c r="O11" s="5" t="s">
        <v>28</v>
      </c>
      <c r="P11" s="5"/>
      <c r="Q11" s="5"/>
    </row>
    <row r="12" spans="1:17" ht="58" customHeight="1" x14ac:dyDescent="0.2">
      <c r="A12" s="2" t="s">
        <v>17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98</v>
      </c>
      <c r="G12" s="3"/>
      <c r="H12" s="4" t="s">
        <v>99</v>
      </c>
      <c r="I12" s="3" t="s">
        <v>36</v>
      </c>
      <c r="J12" s="3" t="s">
        <v>100</v>
      </c>
      <c r="K12" s="3" t="s">
        <v>44</v>
      </c>
      <c r="L12" s="5" t="s">
        <v>27</v>
      </c>
      <c r="M12" s="6"/>
      <c r="N12" s="6"/>
      <c r="O12" s="5" t="s">
        <v>28</v>
      </c>
      <c r="P12" s="5"/>
      <c r="Q12" s="5"/>
    </row>
    <row r="13" spans="1:17" ht="58" customHeight="1" x14ac:dyDescent="0.2">
      <c r="A13" s="2" t="s">
        <v>17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/>
      <c r="H13" s="4" t="s">
        <v>106</v>
      </c>
      <c r="I13" s="3" t="s">
        <v>64</v>
      </c>
      <c r="J13" s="3" t="s">
        <v>107</v>
      </c>
      <c r="K13" s="3" t="s">
        <v>44</v>
      </c>
      <c r="L13" s="5" t="s">
        <v>27</v>
      </c>
      <c r="M13" s="6"/>
      <c r="N13" s="6"/>
      <c r="O13" s="5" t="s">
        <v>28</v>
      </c>
      <c r="P13" s="5"/>
      <c r="Q13" s="5"/>
    </row>
    <row r="14" spans="1:17" ht="58" customHeight="1" x14ac:dyDescent="0.2">
      <c r="A14" s="7" t="s">
        <v>108</v>
      </c>
      <c r="B14" s="3" t="s">
        <v>109</v>
      </c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114</v>
      </c>
      <c r="H14" s="4" t="s">
        <v>115</v>
      </c>
      <c r="I14" s="3" t="s">
        <v>36</v>
      </c>
      <c r="J14" s="3" t="s">
        <v>116</v>
      </c>
      <c r="K14" s="3" t="s">
        <v>26</v>
      </c>
      <c r="L14" s="5" t="s">
        <v>27</v>
      </c>
      <c r="M14" s="6"/>
      <c r="N14" s="6"/>
      <c r="O14" s="5" t="s">
        <v>28</v>
      </c>
      <c r="P14" s="5"/>
      <c r="Q14" s="5"/>
    </row>
    <row r="15" spans="1:17" ht="58" customHeight="1" x14ac:dyDescent="0.2">
      <c r="A15" s="7" t="s">
        <v>108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121</v>
      </c>
      <c r="G15" s="3" t="s">
        <v>122</v>
      </c>
      <c r="H15" s="4" t="s">
        <v>123</v>
      </c>
      <c r="I15" s="3" t="s">
        <v>36</v>
      </c>
      <c r="J15" s="3" t="s">
        <v>124</v>
      </c>
      <c r="K15" s="3" t="s">
        <v>26</v>
      </c>
      <c r="L15" s="5" t="s">
        <v>27</v>
      </c>
      <c r="M15" s="6"/>
      <c r="N15" s="6"/>
      <c r="O15" s="5" t="s">
        <v>28</v>
      </c>
      <c r="P15" s="5"/>
      <c r="Q15" s="5"/>
    </row>
    <row r="16" spans="1:17" ht="58" customHeight="1" x14ac:dyDescent="0.2">
      <c r="A16" s="7" t="s">
        <v>108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4" t="s">
        <v>131</v>
      </c>
      <c r="I16" s="3" t="s">
        <v>36</v>
      </c>
      <c r="J16" s="3" t="s">
        <v>132</v>
      </c>
      <c r="K16" s="3" t="s">
        <v>26</v>
      </c>
      <c r="L16" s="5" t="s">
        <v>27</v>
      </c>
      <c r="M16" s="6"/>
      <c r="N16" s="6"/>
      <c r="O16" s="5" t="s">
        <v>28</v>
      </c>
      <c r="P16" s="5"/>
      <c r="Q16" s="5"/>
    </row>
    <row r="17" spans="1:17" ht="58" customHeight="1" x14ac:dyDescent="0.2">
      <c r="A17" s="7" t="s">
        <v>108</v>
      </c>
      <c r="B17" s="3" t="s">
        <v>133</v>
      </c>
      <c r="C17" s="3" t="s">
        <v>30</v>
      </c>
      <c r="D17" s="3" t="s">
        <v>134</v>
      </c>
      <c r="E17" s="3" t="s">
        <v>135</v>
      </c>
      <c r="F17" s="3" t="s">
        <v>136</v>
      </c>
      <c r="G17" s="3" t="s">
        <v>137</v>
      </c>
      <c r="H17" s="4" t="s">
        <v>138</v>
      </c>
      <c r="I17" s="3" t="s">
        <v>36</v>
      </c>
      <c r="J17" s="3" t="s">
        <v>139</v>
      </c>
      <c r="K17" s="3" t="s">
        <v>26</v>
      </c>
      <c r="L17" s="5" t="s">
        <v>27</v>
      </c>
      <c r="M17" s="6"/>
      <c r="N17" s="6"/>
      <c r="O17" s="5" t="s">
        <v>28</v>
      </c>
      <c r="P17" s="5"/>
      <c r="Q17" s="5"/>
    </row>
    <row r="18" spans="1:17" ht="58" customHeight="1" x14ac:dyDescent="0.2">
      <c r="A18" s="7" t="s">
        <v>108</v>
      </c>
      <c r="B18" s="3" t="s">
        <v>140</v>
      </c>
      <c r="C18" s="3" t="s">
        <v>141</v>
      </c>
      <c r="D18" s="3" t="s">
        <v>31</v>
      </c>
      <c r="E18" s="3" t="s">
        <v>142</v>
      </c>
      <c r="F18" s="3" t="s">
        <v>143</v>
      </c>
      <c r="G18" s="3" t="s">
        <v>144</v>
      </c>
      <c r="H18" s="4" t="s">
        <v>145</v>
      </c>
      <c r="I18" s="3" t="s">
        <v>57</v>
      </c>
      <c r="J18" s="3" t="s">
        <v>146</v>
      </c>
      <c r="K18" s="3" t="s">
        <v>26</v>
      </c>
      <c r="L18" s="5" t="s">
        <v>27</v>
      </c>
      <c r="M18" s="6"/>
      <c r="N18" s="6"/>
      <c r="O18" s="5" t="s">
        <v>28</v>
      </c>
      <c r="P18" s="5"/>
      <c r="Q18" s="5"/>
    </row>
    <row r="19" spans="1:17" ht="58" customHeight="1" x14ac:dyDescent="0.2">
      <c r="A19" s="7" t="s">
        <v>108</v>
      </c>
      <c r="B19" s="3" t="s">
        <v>147</v>
      </c>
      <c r="C19" s="3" t="s">
        <v>80</v>
      </c>
      <c r="D19" s="3" t="s">
        <v>67</v>
      </c>
      <c r="E19" s="3" t="s">
        <v>148</v>
      </c>
      <c r="F19" s="3" t="s">
        <v>149</v>
      </c>
      <c r="G19" s="3" t="s">
        <v>150</v>
      </c>
      <c r="H19" s="4" t="s">
        <v>151</v>
      </c>
      <c r="I19" s="3" t="s">
        <v>92</v>
      </c>
      <c r="J19" s="3" t="s">
        <v>152</v>
      </c>
      <c r="K19" s="3" t="s">
        <v>26</v>
      </c>
      <c r="L19" s="5" t="s">
        <v>27</v>
      </c>
      <c r="M19" s="6"/>
      <c r="N19" s="6"/>
      <c r="O19" s="5" t="s">
        <v>28</v>
      </c>
      <c r="P19" s="5"/>
      <c r="Q19" s="5"/>
    </row>
    <row r="20" spans="1:17" ht="58" customHeight="1" x14ac:dyDescent="0.2">
      <c r="A20" s="7" t="s">
        <v>108</v>
      </c>
      <c r="B20" s="3" t="s">
        <v>153</v>
      </c>
      <c r="C20" s="3" t="s">
        <v>154</v>
      </c>
      <c r="D20" s="3" t="s">
        <v>67</v>
      </c>
      <c r="E20" s="3" t="s">
        <v>155</v>
      </c>
      <c r="F20" s="3" t="s">
        <v>156</v>
      </c>
      <c r="G20" s="3"/>
      <c r="H20" s="4" t="s">
        <v>157</v>
      </c>
      <c r="I20" s="3" t="s">
        <v>36</v>
      </c>
      <c r="J20" s="3" t="s">
        <v>158</v>
      </c>
      <c r="K20" s="3" t="s">
        <v>44</v>
      </c>
      <c r="L20" s="5" t="s">
        <v>27</v>
      </c>
      <c r="M20" s="6"/>
      <c r="N20" s="6"/>
      <c r="O20" s="5" t="s">
        <v>28</v>
      </c>
      <c r="P20" s="5"/>
      <c r="Q20" s="5"/>
    </row>
    <row r="21" spans="1:17" ht="58" customHeight="1" x14ac:dyDescent="0.2">
      <c r="A21" s="7" t="s">
        <v>108</v>
      </c>
      <c r="B21" s="3" t="s">
        <v>159</v>
      </c>
      <c r="C21" s="3" t="s">
        <v>160</v>
      </c>
      <c r="D21" s="3" t="s">
        <v>161</v>
      </c>
      <c r="E21" s="3" t="s">
        <v>162</v>
      </c>
      <c r="F21" s="3" t="s">
        <v>163</v>
      </c>
      <c r="G21" s="3"/>
      <c r="H21" s="4" t="s">
        <v>164</v>
      </c>
      <c r="I21" s="3" t="s">
        <v>36</v>
      </c>
      <c r="J21" s="3" t="s">
        <v>165</v>
      </c>
      <c r="K21" s="3" t="s">
        <v>44</v>
      </c>
      <c r="L21" s="5" t="s">
        <v>27</v>
      </c>
      <c r="M21" s="6"/>
      <c r="N21" s="6"/>
      <c r="O21" s="5" t="s">
        <v>28</v>
      </c>
      <c r="P21" s="5"/>
      <c r="Q21" s="5"/>
    </row>
    <row r="22" spans="1:17" ht="58" customHeight="1" x14ac:dyDescent="0.2">
      <c r="A22" s="7" t="s">
        <v>108</v>
      </c>
      <c r="B22" s="3" t="s">
        <v>166</v>
      </c>
      <c r="C22" s="3" t="s">
        <v>30</v>
      </c>
      <c r="D22" s="3" t="s">
        <v>127</v>
      </c>
      <c r="E22" s="3" t="s">
        <v>167</v>
      </c>
      <c r="F22" s="3" t="s">
        <v>168</v>
      </c>
      <c r="G22" s="3"/>
      <c r="H22" s="4" t="s">
        <v>169</v>
      </c>
      <c r="I22" s="3" t="s">
        <v>170</v>
      </c>
      <c r="J22" s="3" t="s">
        <v>171</v>
      </c>
      <c r="K22" s="3" t="s">
        <v>44</v>
      </c>
      <c r="L22" s="5" t="s">
        <v>27</v>
      </c>
      <c r="M22" s="6"/>
      <c r="N22" s="6"/>
      <c r="O22" s="5" t="s">
        <v>28</v>
      </c>
      <c r="P22" s="5"/>
      <c r="Q22" s="5"/>
    </row>
    <row r="23" spans="1:17" ht="58" customHeight="1" x14ac:dyDescent="0.2">
      <c r="A23" s="7" t="s">
        <v>108</v>
      </c>
      <c r="B23" s="3" t="s">
        <v>172</v>
      </c>
      <c r="C23" s="3" t="s">
        <v>173</v>
      </c>
      <c r="D23" s="3" t="s">
        <v>88</v>
      </c>
      <c r="E23" s="3" t="s">
        <v>174</v>
      </c>
      <c r="F23" s="3" t="s">
        <v>175</v>
      </c>
      <c r="G23" s="3"/>
      <c r="H23" s="4" t="s">
        <v>176</v>
      </c>
      <c r="I23" s="3" t="s">
        <v>36</v>
      </c>
      <c r="J23" s="3" t="s">
        <v>177</v>
      </c>
      <c r="K23" s="3" t="s">
        <v>44</v>
      </c>
      <c r="L23" s="5" t="s">
        <v>27</v>
      </c>
      <c r="M23" s="6"/>
      <c r="N23" s="6"/>
      <c r="O23" s="5" t="s">
        <v>28</v>
      </c>
      <c r="P23" s="5"/>
      <c r="Q23" s="5"/>
    </row>
    <row r="24" spans="1:17" ht="58" customHeight="1" x14ac:dyDescent="0.2">
      <c r="A24" s="7" t="s">
        <v>108</v>
      </c>
      <c r="B24" s="3" t="s">
        <v>178</v>
      </c>
      <c r="C24" s="3" t="s">
        <v>179</v>
      </c>
      <c r="D24" s="3" t="s">
        <v>81</v>
      </c>
      <c r="E24" s="3" t="s">
        <v>180</v>
      </c>
      <c r="F24" s="3" t="s">
        <v>181</v>
      </c>
      <c r="G24" s="3"/>
      <c r="H24" s="4" t="s">
        <v>182</v>
      </c>
      <c r="I24" s="3" t="s">
        <v>36</v>
      </c>
      <c r="J24" s="3" t="s">
        <v>183</v>
      </c>
      <c r="K24" s="3" t="s">
        <v>44</v>
      </c>
      <c r="L24" s="5" t="s">
        <v>27</v>
      </c>
      <c r="M24" s="6"/>
      <c r="N24" s="6"/>
      <c r="O24" s="5" t="s">
        <v>28</v>
      </c>
      <c r="P24" s="5"/>
      <c r="Q24" s="5"/>
    </row>
    <row r="25" spans="1:17" ht="58" customHeight="1" x14ac:dyDescent="0.2">
      <c r="A25" s="7" t="s">
        <v>108</v>
      </c>
      <c r="B25" s="3" t="s">
        <v>184</v>
      </c>
      <c r="C25" s="3" t="s">
        <v>30</v>
      </c>
      <c r="D25" s="3" t="s">
        <v>127</v>
      </c>
      <c r="E25" s="3" t="s">
        <v>185</v>
      </c>
      <c r="F25" s="3" t="s">
        <v>186</v>
      </c>
      <c r="G25" s="3"/>
      <c r="H25" s="4" t="s">
        <v>187</v>
      </c>
      <c r="I25" s="3" t="s">
        <v>36</v>
      </c>
      <c r="J25" s="3" t="s">
        <v>188</v>
      </c>
      <c r="K25" s="3" t="s">
        <v>44</v>
      </c>
      <c r="L25" s="5" t="s">
        <v>27</v>
      </c>
      <c r="M25" s="6"/>
      <c r="N25" s="6"/>
      <c r="O25" s="5" t="s">
        <v>28</v>
      </c>
      <c r="P25" s="5"/>
      <c r="Q25" s="5"/>
    </row>
    <row r="26" spans="1:17" ht="58" customHeight="1" x14ac:dyDescent="0.2">
      <c r="A26" s="7" t="s">
        <v>108</v>
      </c>
      <c r="B26" s="3" t="s">
        <v>189</v>
      </c>
      <c r="C26" s="3" t="s">
        <v>190</v>
      </c>
      <c r="D26" s="3" t="s">
        <v>67</v>
      </c>
      <c r="E26" s="3" t="s">
        <v>191</v>
      </c>
      <c r="F26" s="3" t="s">
        <v>192</v>
      </c>
      <c r="G26" s="3" t="s">
        <v>193</v>
      </c>
      <c r="H26" s="4" t="s">
        <v>194</v>
      </c>
      <c r="I26" s="3" t="s">
        <v>36</v>
      </c>
      <c r="J26" s="3" t="s">
        <v>195</v>
      </c>
      <c r="K26" s="3" t="s">
        <v>26</v>
      </c>
      <c r="L26" s="5" t="s">
        <v>27</v>
      </c>
      <c r="M26" s="6"/>
      <c r="N26" s="6"/>
      <c r="O26" s="5" t="s">
        <v>28</v>
      </c>
      <c r="P26" s="5"/>
      <c r="Q26" s="5"/>
    </row>
    <row r="27" spans="1:17" ht="58" customHeight="1" x14ac:dyDescent="0.2">
      <c r="A27" s="8" t="s">
        <v>196</v>
      </c>
      <c r="B27" s="3" t="s">
        <v>197</v>
      </c>
      <c r="C27" s="3" t="s">
        <v>60</v>
      </c>
      <c r="D27" s="3" t="s">
        <v>20</v>
      </c>
      <c r="E27" s="3" t="s">
        <v>198</v>
      </c>
      <c r="F27" s="3" t="s">
        <v>199</v>
      </c>
      <c r="G27" s="3"/>
      <c r="H27" s="4" t="s">
        <v>200</v>
      </c>
      <c r="I27" s="3" t="s">
        <v>201</v>
      </c>
      <c r="J27" s="3" t="s">
        <v>202</v>
      </c>
      <c r="K27" s="3" t="s">
        <v>44</v>
      </c>
      <c r="L27" s="5" t="s">
        <v>27</v>
      </c>
      <c r="M27" s="6"/>
      <c r="N27" s="6"/>
      <c r="O27" s="5" t="s">
        <v>28</v>
      </c>
      <c r="P27" s="5"/>
      <c r="Q27" s="5"/>
    </row>
    <row r="28" spans="1:17" ht="58" customHeight="1" x14ac:dyDescent="0.2">
      <c r="A28" s="8" t="s">
        <v>196</v>
      </c>
      <c r="B28" s="3" t="s">
        <v>203</v>
      </c>
      <c r="C28" s="3" t="s">
        <v>60</v>
      </c>
      <c r="D28" s="3" t="s">
        <v>20</v>
      </c>
      <c r="E28" s="3" t="s">
        <v>204</v>
      </c>
      <c r="F28" s="3" t="s">
        <v>205</v>
      </c>
      <c r="G28" s="3"/>
      <c r="H28" s="4" t="s">
        <v>206</v>
      </c>
      <c r="I28" s="3" t="s">
        <v>92</v>
      </c>
      <c r="J28" s="3" t="s">
        <v>207</v>
      </c>
      <c r="K28" s="3" t="s">
        <v>44</v>
      </c>
      <c r="L28" s="5" t="s">
        <v>27</v>
      </c>
      <c r="M28" s="6"/>
      <c r="N28" s="6"/>
      <c r="O28" s="5" t="s">
        <v>28</v>
      </c>
      <c r="P28" s="5"/>
      <c r="Q28" s="5"/>
    </row>
    <row r="29" spans="1:17" ht="58" customHeight="1" x14ac:dyDescent="0.2">
      <c r="A29" s="8" t="s">
        <v>196</v>
      </c>
      <c r="B29" s="3" t="s">
        <v>208</v>
      </c>
      <c r="C29" s="3" t="s">
        <v>60</v>
      </c>
      <c r="D29" s="3" t="s">
        <v>81</v>
      </c>
      <c r="E29" s="3" t="s">
        <v>209</v>
      </c>
      <c r="F29" s="3" t="s">
        <v>210</v>
      </c>
      <c r="G29" s="3"/>
      <c r="H29" s="4" t="s">
        <v>211</v>
      </c>
      <c r="I29" s="3" t="s">
        <v>201</v>
      </c>
      <c r="J29" s="3" t="s">
        <v>212</v>
      </c>
      <c r="K29" s="3" t="s">
        <v>44</v>
      </c>
      <c r="L29" s="5" t="s">
        <v>27</v>
      </c>
      <c r="M29" s="6"/>
      <c r="N29" s="6"/>
      <c r="O29" s="5" t="s">
        <v>28</v>
      </c>
      <c r="P29" s="5"/>
      <c r="Q29" s="5"/>
    </row>
    <row r="30" spans="1:17" ht="58" customHeight="1" x14ac:dyDescent="0.2">
      <c r="A30" s="8" t="s">
        <v>196</v>
      </c>
      <c r="B30" s="3" t="s">
        <v>213</v>
      </c>
      <c r="C30" s="3" t="s">
        <v>214</v>
      </c>
      <c r="D30" s="3" t="s">
        <v>215</v>
      </c>
      <c r="E30" s="3" t="s">
        <v>216</v>
      </c>
      <c r="F30" s="3" t="s">
        <v>217</v>
      </c>
      <c r="G30" s="3"/>
      <c r="H30" s="4" t="s">
        <v>218</v>
      </c>
      <c r="I30" s="3" t="s">
        <v>57</v>
      </c>
      <c r="J30" s="3" t="s">
        <v>219</v>
      </c>
      <c r="K30" s="3" t="s">
        <v>44</v>
      </c>
      <c r="L30" s="5" t="s">
        <v>27</v>
      </c>
      <c r="M30" s="6"/>
      <c r="N30" s="6"/>
      <c r="O30" s="5" t="s">
        <v>28</v>
      </c>
      <c r="P30" s="5"/>
      <c r="Q30" s="5"/>
    </row>
    <row r="31" spans="1:17" ht="58" customHeight="1" x14ac:dyDescent="0.2">
      <c r="A31" s="8" t="s">
        <v>196</v>
      </c>
      <c r="B31" s="3" t="s">
        <v>220</v>
      </c>
      <c r="C31" s="3" t="s">
        <v>214</v>
      </c>
      <c r="D31" s="3" t="s">
        <v>221</v>
      </c>
      <c r="E31" s="3" t="s">
        <v>222</v>
      </c>
      <c r="F31" s="3" t="s">
        <v>223</v>
      </c>
      <c r="G31" s="3"/>
      <c r="H31" s="4" t="s">
        <v>224</v>
      </c>
      <c r="I31" s="3" t="s">
        <v>57</v>
      </c>
      <c r="J31" s="3" t="s">
        <v>225</v>
      </c>
      <c r="K31" s="3" t="s">
        <v>44</v>
      </c>
      <c r="L31" s="5" t="s">
        <v>27</v>
      </c>
      <c r="M31" s="6"/>
      <c r="N31" s="6"/>
      <c r="O31" s="5" t="s">
        <v>28</v>
      </c>
      <c r="P31" s="5"/>
      <c r="Q31" s="5"/>
    </row>
  </sheetData>
  <autoFilter ref="A1:Q31" xr:uid="{00000000-0009-0000-0000-000000000000}"/>
  <conditionalFormatting sqref="L2:L31">
    <cfRule type="expression" dxfId="2" priority="1">
      <formula>$L2="Reunião marcada"</formula>
    </cfRule>
    <cfRule type="expression" dxfId="1" priority="2">
      <formula>$L2="Sem interesse"</formula>
    </cfRule>
    <cfRule type="expression" dxfId="0" priority="3">
      <formula>$L2="Follow-up"</formula>
    </cfRule>
  </conditionalFormatting>
  <dataValidations count="2">
    <dataValidation type="list" allowBlank="1" sqref="L2:L31" xr:uid="{00000000-0002-0000-0000-000000000000}">
      <formula1>"Não contatado,Contato enviado,Follow-up,Respondeu,Reunião marcada,Proposta enviada,Sem interesse"</formula1>
    </dataValidation>
    <dataValidation type="list" sqref="A2:A31" xr:uid="{00000000-0002-0000-0000-000001000000}">
      <formula1>"A,B,C"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20" customWidth="1"/>
    <col min="3" max="3" width="32" customWidth="1"/>
    <col min="4" max="4" width="70" customWidth="1"/>
  </cols>
  <sheetData>
    <row r="1" spans="1:4" ht="24" x14ac:dyDescent="0.3">
      <c r="A1" s="13" t="s">
        <v>226</v>
      </c>
      <c r="B1" s="14"/>
      <c r="C1" s="14"/>
      <c r="D1" s="14"/>
    </row>
    <row r="3" spans="1:4" x14ac:dyDescent="0.2">
      <c r="A3" s="9" t="s">
        <v>227</v>
      </c>
      <c r="B3" s="10">
        <f>COUNTA(Prospecção!B2:B31)</f>
        <v>30</v>
      </c>
    </row>
    <row r="4" spans="1:4" x14ac:dyDescent="0.2">
      <c r="A4" s="9" t="s">
        <v>228</v>
      </c>
      <c r="B4" s="10">
        <f>COUNTIF(Prospecção!A2:A31,"A")</f>
        <v>12</v>
      </c>
    </row>
    <row r="5" spans="1:4" x14ac:dyDescent="0.2">
      <c r="A5" s="9" t="s">
        <v>229</v>
      </c>
      <c r="B5" s="10">
        <f>COUNTIF(Prospecção!G2:G31,"?*")</f>
        <v>8</v>
      </c>
    </row>
    <row r="6" spans="1:4" x14ac:dyDescent="0.2">
      <c r="A6" s="9" t="s">
        <v>230</v>
      </c>
      <c r="B6" s="10">
        <f>COUNTIF(Prospecção!L2:L31,"Reunião marcada")</f>
        <v>0</v>
      </c>
    </row>
    <row r="7" spans="1:4" x14ac:dyDescent="0.2">
      <c r="A7" s="9" t="s">
        <v>231</v>
      </c>
      <c r="B7" s="10">
        <f>COUNTIF(Prospecção!L2:L31,"Contato enviado")+COUNTIF(Prospecção!L2:L31,"Follow-up")+COUNTIF(Prospecção!L2:L31,"Respondeu")+COUNTIF(Prospecção!L2:L31,"Reunião marcada")+COUNTIF(Prospecção!L2:L31,"Proposta enviada")</f>
        <v>0</v>
      </c>
    </row>
    <row r="10" spans="1:4" x14ac:dyDescent="0.2">
      <c r="A10" s="15" t="s">
        <v>232</v>
      </c>
      <c r="B10" s="14"/>
      <c r="C10" s="14"/>
      <c r="D10" s="14"/>
    </row>
    <row r="11" spans="1:4" ht="42" customHeight="1" x14ac:dyDescent="0.2">
      <c r="A11" s="11" t="s">
        <v>233</v>
      </c>
      <c r="B11" s="11" t="s">
        <v>234</v>
      </c>
      <c r="C11" s="11" t="s">
        <v>235</v>
      </c>
      <c r="D11" s="11" t="s">
        <v>236</v>
      </c>
    </row>
    <row r="12" spans="1:4" ht="42" customHeight="1" x14ac:dyDescent="0.2">
      <c r="A12" s="11" t="s">
        <v>237</v>
      </c>
      <c r="B12" s="11" t="s">
        <v>238</v>
      </c>
      <c r="C12" s="11" t="s">
        <v>239</v>
      </c>
      <c r="D12" s="11" t="s">
        <v>240</v>
      </c>
    </row>
    <row r="13" spans="1:4" ht="42" customHeight="1" x14ac:dyDescent="0.2">
      <c r="A13" s="11" t="s">
        <v>241</v>
      </c>
      <c r="B13" s="11" t="s">
        <v>242</v>
      </c>
      <c r="C13" s="11" t="s">
        <v>243</v>
      </c>
      <c r="D13" s="11" t="s">
        <v>244</v>
      </c>
    </row>
    <row r="14" spans="1:4" ht="42" customHeight="1" x14ac:dyDescent="0.2">
      <c r="A14" s="11" t="s">
        <v>245</v>
      </c>
      <c r="B14" s="11" t="s">
        <v>246</v>
      </c>
      <c r="C14" s="11" t="s">
        <v>247</v>
      </c>
      <c r="D14" s="11" t="s">
        <v>248</v>
      </c>
    </row>
    <row r="17" spans="1:4" x14ac:dyDescent="0.2">
      <c r="A17" s="15" t="s">
        <v>249</v>
      </c>
      <c r="B17" s="14"/>
      <c r="C17" s="14"/>
      <c r="D17" s="14"/>
    </row>
    <row r="18" spans="1:4" ht="42" customHeight="1" x14ac:dyDescent="0.2">
      <c r="A18" s="11" t="s">
        <v>17</v>
      </c>
      <c r="B18" s="11" t="s">
        <v>250</v>
      </c>
      <c r="C18" s="11" t="s">
        <v>251</v>
      </c>
      <c r="D18" s="11"/>
    </row>
    <row r="19" spans="1:4" ht="42" customHeight="1" x14ac:dyDescent="0.2">
      <c r="A19" s="11" t="s">
        <v>108</v>
      </c>
      <c r="B19" s="11" t="s">
        <v>252</v>
      </c>
      <c r="C19" s="11" t="s">
        <v>253</v>
      </c>
      <c r="D19" s="11"/>
    </row>
    <row r="20" spans="1:4" ht="42" customHeight="1" x14ac:dyDescent="0.2">
      <c r="A20" s="11" t="s">
        <v>196</v>
      </c>
      <c r="B20" s="11" t="s">
        <v>254</v>
      </c>
      <c r="C20" s="11" t="s">
        <v>255</v>
      </c>
      <c r="D20" s="11"/>
    </row>
    <row r="23" spans="1:4" x14ac:dyDescent="0.2">
      <c r="A23" t="s">
        <v>256</v>
      </c>
      <c r="B23" s="12">
        <v>46246</v>
      </c>
    </row>
    <row r="24" spans="1:4" x14ac:dyDescent="0.2">
      <c r="A24" t="s">
        <v>257</v>
      </c>
      <c r="B24" s="16" t="s">
        <v>258</v>
      </c>
      <c r="C24" s="14"/>
      <c r="D24" s="14"/>
    </row>
    <row r="25" spans="1:4" x14ac:dyDescent="0.2">
      <c r="B25" s="14"/>
      <c r="C25" s="14"/>
      <c r="D25" s="14"/>
    </row>
  </sheetData>
  <mergeCells count="4">
    <mergeCell ref="A1:D1"/>
    <mergeCell ref="A17:D17"/>
    <mergeCell ref="B24:D2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Prospecção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Arq. Camila Caruso</cp:lastModifiedBy>
  <dcterms:created xsi:type="dcterms:W3CDTF">2026-08-12T14:35:25Z</dcterms:created>
  <dcterms:modified xsi:type="dcterms:W3CDTF">2026-08-12T14:37:04Z</dcterms:modified>
</cp:coreProperties>
</file>